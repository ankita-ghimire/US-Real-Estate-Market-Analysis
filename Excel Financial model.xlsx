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ankitaghimire/Desktop/Data Analysis Excel/"/>
    </mc:Choice>
  </mc:AlternateContent>
  <xr:revisionPtr revIDLastSave="0" documentId="8_{C40F0BC7-E121-9B43-BC79-70C95D55DBDF}" xr6:coauthVersionLast="47" xr6:coauthVersionMax="47" xr10:uidLastSave="{00000000-0000-0000-0000-000000000000}"/>
  <bookViews>
    <workbookView xWindow="0" yWindow="740" windowWidth="29400" windowHeight="18380" xr2:uid="{841377AF-6823-104B-A0A5-939D522CAF92}"/>
  </bookViews>
  <sheets>
    <sheet name="Sheet2" sheetId="2" r:id="rId1"/>
    <sheet name="Sheet1" sheetId="1" r:id="rId2"/>
  </sheets>
  <definedNames>
    <definedName name="Slicer_City">#N/A</definedName>
  </definedNames>
  <calcPr calcId="181029"/>
  <pivotCaches>
    <pivotCache cacheId="3"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2" i="1"/>
  <c r="G3" i="1"/>
  <c r="G4" i="1"/>
  <c r="G5" i="1"/>
  <c r="G6" i="1"/>
  <c r="G2" i="1"/>
  <c r="F3" i="1"/>
  <c r="F4" i="1"/>
  <c r="F5" i="1"/>
  <c r="F6" i="1"/>
  <c r="F2" i="1"/>
</calcChain>
</file>

<file path=xl/sharedStrings.xml><?xml version="1.0" encoding="utf-8"?>
<sst xmlns="http://schemas.openxmlformats.org/spreadsheetml/2006/main" count="28" uniqueCount="23">
  <si>
    <t>Price</t>
  </si>
  <si>
    <t>City</t>
  </si>
  <si>
    <t>Rent</t>
  </si>
  <si>
    <t>Expenses</t>
  </si>
  <si>
    <t>RE-001</t>
  </si>
  <si>
    <t>Austin</t>
  </si>
  <si>
    <t>RE-002</t>
  </si>
  <si>
    <t>Miami</t>
  </si>
  <si>
    <t>RE-003</t>
  </si>
  <si>
    <t>Dallas</t>
  </si>
  <si>
    <t>RE-004</t>
  </si>
  <si>
    <t>Phoenix</t>
  </si>
  <si>
    <t>RE-005</t>
  </si>
  <si>
    <t>Tampa</t>
  </si>
  <si>
    <t>Property ID</t>
  </si>
  <si>
    <t>NOI (Net Operating Income)</t>
  </si>
  <si>
    <t>Annual Income</t>
  </si>
  <si>
    <t>Cap Rate (%)</t>
  </si>
  <si>
    <t>NOI (Net Operating Income)= total income-expenses</t>
  </si>
  <si>
    <r>
      <t>Cap Rate</t>
    </r>
    <r>
      <rPr>
        <sz val="12"/>
        <color theme="1"/>
        <rFont val="Aptos Narrow"/>
        <family val="2"/>
        <scheme val="minor"/>
      </rPr>
      <t xml:space="preserve"> (The return on the property).</t>
    </r>
    <r>
      <rPr>
        <b/>
        <sz val="12"/>
        <color theme="1"/>
        <rFont val="Aptos Narrow"/>
        <family val="2"/>
        <scheme val="minor"/>
      </rPr>
      <t>=(Income divided by Purchase Price)</t>
    </r>
  </si>
  <si>
    <t>Row Labels</t>
  </si>
  <si>
    <t>Grand Total</t>
  </si>
  <si>
    <t>Average of Cap 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</si>
</sst>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0.0%"/>
  </numFmts>
  <fonts count="3" x14ac:knownFonts="1">
    <font>
      <sz val="12"/>
      <color theme="1"/>
      <name val="Aptos Narrow"/>
      <family val="2"/>
      <scheme val="minor"/>
    </font>
    <font>
      <sz val="12"/>
      <color theme="1"/>
      <name val="Aptos Narrow"/>
      <family val="2"/>
      <scheme val="minor"/>
    </font>
    <font>
      <b/>
      <sz val="12"/>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6">
    <xf numFmtId="0" fontId="0" fillId="0" borderId="0" xfId="0"/>
    <xf numFmtId="0" fontId="2" fillId="0" borderId="0" xfId="0" applyFont="1"/>
    <xf numFmtId="9" fontId="0" fillId="0" borderId="0" xfId="1" applyFont="1"/>
    <xf numFmtId="0" fontId="0" fillId="0" borderId="0" xfId="0" pivotButton="1"/>
    <xf numFmtId="0" fontId="0" fillId="0" borderId="0" xfId="0" applyAlignment="1">
      <alignment horizontal="left"/>
    </xf>
    <xf numFmtId="170" fontId="0" fillId="0" borderId="0" xfId="0" applyNumberForma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Financial model.xlsx]Sheet2!PivotTable1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baseline="0"/>
              <a:t>Yield Analysis by City (Cap Rate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Sheet2!$A$4:$A$9</c:f>
              <c:strCache>
                <c:ptCount val="5"/>
                <c:pt idx="0">
                  <c:v>Austin</c:v>
                </c:pt>
                <c:pt idx="1">
                  <c:v>Dallas</c:v>
                </c:pt>
                <c:pt idx="2">
                  <c:v>Miami</c:v>
                </c:pt>
                <c:pt idx="3">
                  <c:v>Phoenix</c:v>
                </c:pt>
                <c:pt idx="4">
                  <c:v>Tampa</c:v>
                </c:pt>
              </c:strCache>
            </c:strRef>
          </c:cat>
          <c:val>
            <c:numRef>
              <c:f>Sheet2!$B$4:$B$9</c:f>
              <c:numCache>
                <c:formatCode>0.0%</c:formatCode>
                <c:ptCount val="5"/>
                <c:pt idx="0">
                  <c:v>8.4000000000000005E-2</c:v>
                </c:pt>
                <c:pt idx="1">
                  <c:v>7.0999999999999994E-2</c:v>
                </c:pt>
                <c:pt idx="2">
                  <c:v>9.0128022759601689E-2</c:v>
                </c:pt>
                <c:pt idx="3">
                  <c:v>8.666666666666667E-2</c:v>
                </c:pt>
                <c:pt idx="4">
                  <c:v>8.2222222222222224E-2</c:v>
                </c:pt>
              </c:numCache>
            </c:numRef>
          </c:val>
          <c:extLst>
            <c:ext xmlns:c16="http://schemas.microsoft.com/office/drawing/2014/chart" uri="{C3380CC4-5D6E-409C-BE32-E72D297353CC}">
              <c16:uniqueId val="{00000000-6CEB-6B46-B018-6B5724EA3FA1}"/>
            </c:ext>
          </c:extLst>
        </c:ser>
        <c:dLbls>
          <c:showLegendKey val="0"/>
          <c:showVal val="0"/>
          <c:showCatName val="0"/>
          <c:showSerName val="0"/>
          <c:showPercent val="0"/>
          <c:showBubbleSize val="0"/>
        </c:dLbls>
        <c:gapWidth val="182"/>
        <c:axId val="551796656"/>
        <c:axId val="551798368"/>
      </c:barChart>
      <c:catAx>
        <c:axId val="551796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798368"/>
        <c:crosses val="autoZero"/>
        <c:auto val="1"/>
        <c:lblAlgn val="ctr"/>
        <c:lblOffset val="100"/>
        <c:noMultiLvlLbl val="0"/>
      </c:catAx>
      <c:valAx>
        <c:axId val="551798368"/>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796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127000</xdr:colOff>
      <xdr:row>1</xdr:row>
      <xdr:rowOff>88900</xdr:rowOff>
    </xdr:from>
    <xdr:to>
      <xdr:col>5</xdr:col>
      <xdr:colOff>304800</xdr:colOff>
      <xdr:row>14</xdr:row>
      <xdr:rowOff>66672</xdr:rowOff>
    </xdr:to>
    <mc:AlternateContent xmlns:mc="http://schemas.openxmlformats.org/markup-compatibility/2006">
      <mc:Choice xmlns:a14="http://schemas.microsoft.com/office/drawing/2010/main" Requires="a14">
        <xdr:graphicFrame macro="">
          <xdr:nvGraphicFramePr>
            <xdr:cNvPr id="2" name="City">
              <a:extLst>
                <a:ext uri="{FF2B5EF4-FFF2-40B4-BE49-F238E27FC236}">
                  <a16:creationId xmlns:a16="http://schemas.microsoft.com/office/drawing/2014/main" id="{A0FCA120-70D2-8E17-3BC5-A44655E1139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3543300" y="2921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279400</xdr:colOff>
      <xdr:row>1</xdr:row>
      <xdr:rowOff>19050</xdr:rowOff>
    </xdr:from>
    <xdr:to>
      <xdr:col>11</xdr:col>
      <xdr:colOff>723900</xdr:colOff>
      <xdr:row>14</xdr:row>
      <xdr:rowOff>120650</xdr:rowOff>
    </xdr:to>
    <xdr:graphicFrame macro="">
      <xdr:nvGraphicFramePr>
        <xdr:cNvPr id="3" name="Chart 2">
          <a:extLst>
            <a:ext uri="{FF2B5EF4-FFF2-40B4-BE49-F238E27FC236}">
              <a16:creationId xmlns:a16="http://schemas.microsoft.com/office/drawing/2014/main" id="{44973BD6-894C-4559-0B0B-5233282D76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a Ghimire" refreshedDate="46076.849257754628" createdVersion="8" refreshedVersion="8" minRefreshableVersion="3" recordCount="5" xr:uid="{8A27E492-93E4-024A-8004-9FBA39406495}">
  <cacheSource type="worksheet">
    <worksheetSource ref="A1:H6" sheet="Sheet1"/>
  </cacheSource>
  <cacheFields count="8">
    <cacheField name="Property ID" numFmtId="0">
      <sharedItems/>
    </cacheField>
    <cacheField name="City" numFmtId="0">
      <sharedItems count="5">
        <s v="Austin"/>
        <s v="Miami"/>
        <s v="Dallas"/>
        <s v="Phoenix"/>
        <s v="Tampa"/>
      </sharedItems>
    </cacheField>
    <cacheField name="Price" numFmtId="0">
      <sharedItems containsSemiMixedTypes="0" containsString="0" containsNumber="1" minValue="400000" maxValue="659062.50000000012"/>
    </cacheField>
    <cacheField name="Rent" numFmtId="0">
      <sharedItems containsSemiMixedTypes="0" containsString="0" containsNumber="1" containsInteger="1" minValue="3200" maxValue="6200"/>
    </cacheField>
    <cacheField name="Expenses" numFmtId="0">
      <sharedItems containsSemiMixedTypes="0" containsString="0" containsNumber="1" containsInteger="1" minValue="10000" maxValue="15000"/>
    </cacheField>
    <cacheField name="Annual Income" numFmtId="0">
      <sharedItems containsSemiMixedTypes="0" containsString="0" containsNumber="1" containsInteger="1" minValue="38400" maxValue="74400"/>
    </cacheField>
    <cacheField name="NOI (Net Operating Income)" numFmtId="0">
      <sharedItems containsSemiMixedTypes="0" containsString="0" containsNumber="1" containsInteger="1" minValue="28400" maxValue="59400"/>
    </cacheField>
    <cacheField name="Cap Rate (%)" numFmtId="9">
      <sharedItems containsSemiMixedTypes="0" containsString="0" containsNumber="1" minValue="7.0999999999999994E-2" maxValue="9.0128022759601689E-2"/>
    </cacheField>
  </cacheFields>
  <extLst>
    <ext xmlns:x14="http://schemas.microsoft.com/office/spreadsheetml/2009/9/main" uri="{725AE2AE-9491-48be-B2B4-4EB974FC3084}">
      <x14:pivotCacheDefinition pivotCacheId="18930397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s v="RE-001"/>
    <x v="0"/>
    <n v="500000"/>
    <n v="4500"/>
    <n v="12000"/>
    <n v="54000"/>
    <n v="42000"/>
    <n v="8.4000000000000005E-2"/>
  </r>
  <r>
    <s v="RE-002"/>
    <x v="1"/>
    <n v="659062.50000000012"/>
    <n v="6200"/>
    <n v="15000"/>
    <n v="74400"/>
    <n v="59400"/>
    <n v="9.0128022759601689E-2"/>
  </r>
  <r>
    <s v="RE-003"/>
    <x v="2"/>
    <n v="400000"/>
    <n v="3200"/>
    <n v="10000"/>
    <n v="38400"/>
    <n v="28400"/>
    <n v="7.0999999999999994E-2"/>
  </r>
  <r>
    <s v="RE-004"/>
    <x v="3"/>
    <n v="600000"/>
    <n v="5500"/>
    <n v="14000"/>
    <n v="66000"/>
    <n v="52000"/>
    <n v="8.666666666666667E-2"/>
  </r>
  <r>
    <s v="RE-005"/>
    <x v="4"/>
    <n v="450000"/>
    <n v="4000"/>
    <n v="11000"/>
    <n v="48000"/>
    <n v="37000"/>
    <n v="8.2222222222222224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601081-F506-EC47-B44D-D4C6D9D3A31F}"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9" firstHeaderRow="1" firstDataRow="1" firstDataCol="1"/>
  <pivotFields count="8">
    <pivotField showAll="0"/>
    <pivotField axis="axisRow" showAll="0">
      <items count="6">
        <item x="0"/>
        <item x="2"/>
        <item x="1"/>
        <item x="3"/>
        <item x="4"/>
        <item t="default"/>
      </items>
    </pivotField>
    <pivotField showAll="0"/>
    <pivotField showAll="0"/>
    <pivotField showAll="0"/>
    <pivotField showAll="0"/>
    <pivotField showAll="0"/>
    <pivotField dataField="1" numFmtId="9" showAll="0"/>
  </pivotFields>
  <rowFields count="1">
    <field x="1"/>
  </rowFields>
  <rowItems count="6">
    <i>
      <x/>
    </i>
    <i>
      <x v="1"/>
    </i>
    <i>
      <x v="2"/>
    </i>
    <i>
      <x v="3"/>
    </i>
    <i>
      <x v="4"/>
    </i>
    <i t="grand">
      <x/>
    </i>
  </rowItems>
  <colItems count="1">
    <i/>
  </colItems>
  <dataFields count="1">
    <dataField name="Average of Cap Rate (%)" fld="7" subtotal="average" baseField="0" baseItem="0" numFmtId="17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519EFD3-62EE-6548-9550-BB09BCF238A8}" sourceName="City">
  <pivotTables>
    <pivotTable tabId="2" name="PivotTable1"/>
  </pivotTables>
  <data>
    <tabular pivotCacheId="1893039727">
      <items count="5">
        <i x="0" s="1"/>
        <i x="2"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A4111100-85A3-194C-B5D7-D2BD69456B58}" cache="Slicer_City" caption="City"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D9968-0DA1-6246-82F3-F7E199C08898}">
  <dimension ref="A3:B9"/>
  <sheetViews>
    <sheetView tabSelected="1" workbookViewId="0">
      <selection activeCell="L28" sqref="L28"/>
    </sheetView>
  </sheetViews>
  <sheetFormatPr baseColWidth="10" defaultRowHeight="16" x14ac:dyDescent="0.2"/>
  <cols>
    <col min="1" max="1" width="13" bestFit="1" customWidth="1"/>
    <col min="2" max="2" width="21" bestFit="1" customWidth="1"/>
  </cols>
  <sheetData>
    <row r="3" spans="1:2" x14ac:dyDescent="0.2">
      <c r="A3" s="3" t="s">
        <v>20</v>
      </c>
      <c r="B3" t="s">
        <v>22</v>
      </c>
    </row>
    <row r="4" spans="1:2" x14ac:dyDescent="0.2">
      <c r="A4" s="4" t="s">
        <v>5</v>
      </c>
      <c r="B4" s="5">
        <v>8.4000000000000005E-2</v>
      </c>
    </row>
    <row r="5" spans="1:2" x14ac:dyDescent="0.2">
      <c r="A5" s="4" t="s">
        <v>9</v>
      </c>
      <c r="B5" s="5">
        <v>7.0999999999999994E-2</v>
      </c>
    </row>
    <row r="6" spans="1:2" x14ac:dyDescent="0.2">
      <c r="A6" s="4" t="s">
        <v>7</v>
      </c>
      <c r="B6" s="5">
        <v>9.0128022759601689E-2</v>
      </c>
    </row>
    <row r="7" spans="1:2" x14ac:dyDescent="0.2">
      <c r="A7" s="4" t="s">
        <v>11</v>
      </c>
      <c r="B7" s="5">
        <v>8.666666666666667E-2</v>
      </c>
    </row>
    <row r="8" spans="1:2" x14ac:dyDescent="0.2">
      <c r="A8" s="4" t="s">
        <v>13</v>
      </c>
      <c r="B8" s="5">
        <v>8.2222222222222224E-2</v>
      </c>
    </row>
    <row r="9" spans="1:2" x14ac:dyDescent="0.2">
      <c r="A9" s="4" t="s">
        <v>21</v>
      </c>
      <c r="B9" s="5">
        <v>8.2803382329698111E-2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983F4-8941-1244-A076-25499AA210A5}">
  <dimension ref="A1:I6"/>
  <sheetViews>
    <sheetView workbookViewId="0">
      <selection sqref="A1:H6"/>
    </sheetView>
  </sheetViews>
  <sheetFormatPr baseColWidth="10" defaultRowHeight="16" x14ac:dyDescent="0.2"/>
  <cols>
    <col min="6" max="6" width="19.6640625" customWidth="1"/>
    <col min="7" max="7" width="27.5" customWidth="1"/>
    <col min="8" max="8" width="22.5" customWidth="1"/>
    <col min="9" max="9" width="63.5" customWidth="1"/>
  </cols>
  <sheetData>
    <row r="1" spans="1:9" x14ac:dyDescent="0.2">
      <c r="A1" t="s">
        <v>14</v>
      </c>
      <c r="B1" t="s">
        <v>1</v>
      </c>
      <c r="C1" t="s">
        <v>0</v>
      </c>
      <c r="D1" t="s">
        <v>2</v>
      </c>
      <c r="E1" t="s">
        <v>3</v>
      </c>
      <c r="F1" s="1" t="s">
        <v>16</v>
      </c>
      <c r="G1" s="1" t="s">
        <v>15</v>
      </c>
      <c r="H1" s="1" t="s">
        <v>17</v>
      </c>
    </row>
    <row r="2" spans="1:9" x14ac:dyDescent="0.2">
      <c r="A2" t="s">
        <v>4</v>
      </c>
      <c r="B2" t="s">
        <v>5</v>
      </c>
      <c r="C2">
        <v>500000</v>
      </c>
      <c r="D2">
        <v>4500</v>
      </c>
      <c r="E2">
        <v>12000</v>
      </c>
      <c r="F2">
        <f>D2*12</f>
        <v>54000</v>
      </c>
      <c r="G2">
        <f>F2-E2</f>
        <v>42000</v>
      </c>
      <c r="H2" s="2">
        <f>G2/C2</f>
        <v>8.4000000000000005E-2</v>
      </c>
    </row>
    <row r="3" spans="1:9" x14ac:dyDescent="0.2">
      <c r="A3" t="s">
        <v>6</v>
      </c>
      <c r="B3" t="s">
        <v>7</v>
      </c>
      <c r="C3">
        <v>659062.50000000012</v>
      </c>
      <c r="D3">
        <v>6200</v>
      </c>
      <c r="E3">
        <v>15000</v>
      </c>
      <c r="F3">
        <f t="shared" ref="F3:F6" si="0">D3*12</f>
        <v>74400</v>
      </c>
      <c r="G3">
        <f t="shared" ref="G3:G6" si="1">F3-E3</f>
        <v>59400</v>
      </c>
      <c r="H3" s="2">
        <f t="shared" ref="H3:H6" si="2">G3/C3</f>
        <v>9.0128022759601689E-2</v>
      </c>
    </row>
    <row r="4" spans="1:9" x14ac:dyDescent="0.2">
      <c r="A4" t="s">
        <v>8</v>
      </c>
      <c r="B4" t="s">
        <v>9</v>
      </c>
      <c r="C4">
        <v>400000</v>
      </c>
      <c r="D4">
        <v>3200</v>
      </c>
      <c r="E4">
        <v>10000</v>
      </c>
      <c r="F4">
        <f t="shared" si="0"/>
        <v>38400</v>
      </c>
      <c r="G4">
        <f t="shared" si="1"/>
        <v>28400</v>
      </c>
      <c r="H4" s="2">
        <f t="shared" si="2"/>
        <v>7.0999999999999994E-2</v>
      </c>
    </row>
    <row r="5" spans="1:9" x14ac:dyDescent="0.2">
      <c r="A5" t="s">
        <v>10</v>
      </c>
      <c r="B5" t="s">
        <v>11</v>
      </c>
      <c r="C5">
        <v>600000</v>
      </c>
      <c r="D5">
        <v>5500</v>
      </c>
      <c r="E5">
        <v>14000</v>
      </c>
      <c r="F5">
        <f t="shared" si="0"/>
        <v>66000</v>
      </c>
      <c r="G5">
        <f t="shared" si="1"/>
        <v>52000</v>
      </c>
      <c r="H5" s="2">
        <f t="shared" si="2"/>
        <v>8.666666666666667E-2</v>
      </c>
      <c r="I5" s="1" t="s">
        <v>18</v>
      </c>
    </row>
    <row r="6" spans="1:9" x14ac:dyDescent="0.2">
      <c r="A6" t="s">
        <v>12</v>
      </c>
      <c r="B6" t="s">
        <v>13</v>
      </c>
      <c r="C6">
        <v>450000</v>
      </c>
      <c r="D6">
        <v>4000</v>
      </c>
      <c r="E6">
        <v>11000</v>
      </c>
      <c r="F6">
        <f t="shared" si="0"/>
        <v>48000</v>
      </c>
      <c r="G6">
        <f t="shared" si="1"/>
        <v>37000</v>
      </c>
      <c r="H6" s="2">
        <f t="shared" si="2"/>
        <v>8.2222222222222224E-2</v>
      </c>
      <c r="I6" s="1"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Ankita Ghimire</dc:creator>
  <cp:lastModifiedBy>Ankita Ghimire</cp:lastModifiedBy>
  <dcterms:created xsi:type="dcterms:W3CDTF">2026-02-23T13:35:40Z</dcterms:created>
  <dcterms:modified xsi:type="dcterms:W3CDTF">2026-02-24T12:55:11Z</dcterms:modified>
</cp:coreProperties>
</file>